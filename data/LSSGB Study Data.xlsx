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edule" sheetId="1" r:id="rId5"/>
    <sheet state="visible" name="Log" sheetId="2" r:id="rId6"/>
    <sheet state="visible" name="Dashboard" sheetId="3" r:id="rId7"/>
    <sheet state="visible" name="Ref" sheetId="4" r:id="rId8"/>
    <sheet state="visible" name="Def-Waste" sheetId="5" r:id="rId9"/>
    <sheet state="visible" name="Def-Confidence" sheetId="6" r:id="rId10"/>
    <sheet state="visible" name="Def-Satisfaction"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tc={adcab7ec-15be-4964-9dcf-7047dac9a0c5}</author>
  </authors>
  <commentList>
    <comment authorId="0" xr:uid="{adcab7ec-15be-4964-9dcf-7047dac9a0c5}" ref="B12">
      <text>
        <t xml:space="preserve">[Threaded comment]
 Your version of Excel allows you to read this threaded comment; however, any edits to it will get removed if the file is opened in a newer version of Excel. Learn more: https://go.microsoft.com/fwlink/?linkid=870924
Comment:
	12/13-12/19那一週回台灣
</t>
      </text>
    </comment>
  </commentList>
</comments>
</file>

<file path=xl/sharedStrings.xml><?xml version="1.0" encoding="utf-8"?>
<sst xmlns="http://schemas.openxmlformats.org/spreadsheetml/2006/main" count="190" uniqueCount="146">
  <si>
    <t>8 大浪費維度</t>
  </si>
  <si>
    <t>Week_Num</t>
  </si>
  <si>
    <t>讀書階段的具體情境</t>
  </si>
  <si>
    <t>Phase_Stage</t>
  </si>
  <si>
    <t>動態處方建議（Prescriptive Countermeasure）</t>
  </si>
  <si>
    <t>Defects（錯誤 / 概念重讀</t>
  </si>
  <si>
    <t>讀完某個章節卻無法解釋其背後邏輯（如 Type I/Type II Error）</t>
  </si>
  <si>
    <t>⚠️ 【觸發 Kaizen 處方：強化標準提問】 概念模糊導致重複查找。處方：直接套用【模板 2：工具對比與決策樹】，讓 NLM 直接產出對照表格，不要閱讀大段文字。</t>
  </si>
  <si>
    <t>Over-processing（過度加工）</t>
  </si>
  <si>
    <t>花大量時間排版漂亮筆記、畫精美插圖，卻沒有加深理解</t>
  </si>
  <si>
    <t>⚠️ 【觸發 Kaizen 處方：防範過度加工】 筆記整理耗時過長。處方：嚴格執行 Time-boxing，每單元筆記僅限輸出 3 個核心觀點與 1 張公式小抄，停止美化字體與排版。</t>
  </si>
  <si>
    <t>Start_Date</t>
  </si>
  <si>
    <t>Waiting（等待）</t>
  </si>
  <si>
    <t>等檔案下載、NLM 處理時間、找筆記範本耗時</t>
  </si>
  <si>
    <t>⚠️ 【觸發 Kaizen 處方：設定跳過機制】 單一問題思考卡關。處方：若 NLM 解釋超過 2 次仍無法理解，先在 Confidence 填 2 分並標註 Flag，直接推進，留待衝刺期題庫解析處理。</t>
  </si>
  <si>
    <t>Date</t>
  </si>
  <si>
    <t>Motion（多餘動作）</t>
  </si>
  <si>
    <t>在不同視窗、書籤、檔案資料夾之間切換</t>
  </si>
  <si>
    <t>⚠️ 【觸發 Kaizen 處方：落實 5S 資料管理】 跨視窗/資料夾查找時間超標。處方：固定雙螢幕配置，左側固定 NLM、右側固定 Google Doc，關閉所有無關瀏覽器分頁。</t>
  </si>
  <si>
    <t>Inventory（未消化的資訊堆積）</t>
  </si>
  <si>
    <t>End_Date</t>
  </si>
  <si>
    <t>一次生成太多 NLM 筆記但當天根本來不及看，累積成未消化負擔。</t>
  </si>
  <si>
    <t>POBOK_Topic</t>
  </si>
  <si>
    <t>W1</t>
  </si>
  <si>
    <t>⚠️ 【觸發 Kaizen 處方：執行嚴格拉動系統（Pull System / WIP Limit）】檢測到資訊庫存積壓過多。處方：設定 WIP Limit = 1（在製品上限為 1），落實單件流（One-Piece Flow）——上一章節的小抄未完成前，嚴禁向 NLM 提問或生成下一章節。清空待辦閱讀清單，僅保留當週排定的子主題，避免非必要的資料前置堆積。</t>
  </si>
  <si>
    <t>Activity_Type</t>
  </si>
  <si>
    <t>Non-utilized Talent / Distraction（分心 / 外部干擾）</t>
  </si>
  <si>
    <t>滑手機、處理無關雜事導致學習中斷。</t>
  </si>
  <si>
    <t>VA_Min</t>
  </si>
  <si>
    <t>⚠️ 【觸發 Kaizen 處方：啟動主動實務轉化機制（Active Application）】檢測到被動學習比例過高，既有專業認知潛力未發揮。處方：立即套用【模板 4：實務流程對照轉化】，強制將此抽象概念映射到具體熟悉的實務流程中進行推演。停止純眼睛閱讀，改採「費曼學習法（Feynman Technique）」：闔上螢幕，嘗試用白話向假想對象口頭解釋該工具的輸入（Inputs）、輸出（Outputs）與決策時機。</t>
  </si>
  <si>
    <t>Rework（重工）</t>
  </si>
  <si>
    <t>概念理解不清、筆記遺失或遺忘，導致同一章節重複研讀</t>
  </si>
  <si>
    <t>⚠️ 【處方：改善單元首檢機制】 讀完當下立即用 3 句話口頭自我複述；若卡住當場問通，避免隔週產生返工成本。</t>
  </si>
  <si>
    <t>NVA_Min</t>
  </si>
  <si>
    <t>Transportation（數位搬運）</t>
  </si>
  <si>
    <t>在 NLM、Notion、Word、雲端硬碟之間反覆複製貼上或轉存格式</t>
  </si>
  <si>
    <t>⚠️ 【處方：落實單一流動（One-Piece Flow）】 實施 Single-source of Truth（單一知識庫），NLM 提煉完直接存入最終小抄文件，禁止二次轉存搬移。</t>
  </si>
  <si>
    <t>DMAIC_Phase</t>
  </si>
  <si>
    <t>Waste_Type</t>
  </si>
  <si>
    <t>Confidence_Level</t>
  </si>
  <si>
    <t>Satisfaction_Score</t>
  </si>
  <si>
    <t>Questions_Attempted</t>
  </si>
  <si>
    <t>Questions_Correct</t>
  </si>
  <si>
    <t>Avg_Seconds_Per_Q</t>
  </si>
  <si>
    <t>Stage 1: Knowledge Mastery</t>
  </si>
  <si>
    <t>W2</t>
  </si>
  <si>
    <t>W3</t>
  </si>
  <si>
    <t>W4</t>
  </si>
  <si>
    <t>W5</t>
  </si>
  <si>
    <t>W6</t>
  </si>
  <si>
    <t>W7</t>
  </si>
  <si>
    <t>W8</t>
  </si>
  <si>
    <t>POBOK_Topic_Description</t>
  </si>
  <si>
    <t>W9</t>
  </si>
  <si>
    <t>Key_Focus_Items</t>
  </si>
  <si>
    <t>W10</t>
  </si>
  <si>
    <t>Standard_Planned_Min</t>
  </si>
  <si>
    <t>W11</t>
  </si>
  <si>
    <t>Define</t>
  </si>
  <si>
    <t>1.1 &amp; 1.2</t>
  </si>
  <si>
    <t>W12</t>
  </si>
  <si>
    <r>
      <rPr>
        <rFont val="Arial"/>
        <b/>
        <color theme="1"/>
      </rPr>
      <t>1.1 The Basics of Six Sigma</t>
    </r>
    <r>
      <rPr>
        <rFont val="Arial"/>
        <color theme="1"/>
      </rPr>
      <t xml:space="preserve">
1.1.1 Meanings of Six Sigma
1.1.2 General History of Six Sigma &amp; Continuous Improvement
1.1.3 Deliverables of a Lean Six Sigma Project
1.1.4 The Problem Solving Strategy Y = f(x)
1.1.5 Voice of the Customer, Business and Employee
1.1.6 Six Sigma Roles &amp; Responsibilities
</t>
    </r>
    <r>
      <rPr>
        <rFont val="Arial"/>
        <b/>
        <color theme="1"/>
      </rPr>
      <t>1.2 The Fundamentals of Six Sigma</t>
    </r>
    <r>
      <rPr>
        <rFont val="Arial"/>
        <color theme="1"/>
      </rPr>
      <t xml:space="preserve">
1.2.1 Defining a Process
1.2.2 Critical to Quality Characteristics (CTQ’s)
1.2.3 Cost of Poor Quality (COPQ)
1.2.4 Pareto Analysis (80:20 rule)
1.2.5 Basic Six Sigma Metrics
a. including DPU, DPMO, FTY, RTY Cycle Time, deriving these metrics and these metrics</t>
    </r>
  </si>
  <si>
    <t>歷史、角色、Y=f(x)、CTQ、COPQ、DPU/DPMO/RTY 公式提煉</t>
  </si>
  <si>
    <t>W13</t>
  </si>
  <si>
    <t>W14</t>
  </si>
  <si>
    <t>1.3 &amp; 1.4</t>
  </si>
  <si>
    <r>
      <rPr>
        <rFont val="Arial"/>
        <b/>
        <color theme="1"/>
      </rPr>
      <t>1.3 Selecting Lean Six Sigma Projects</t>
    </r>
    <r>
      <rPr>
        <rFont val="Arial"/>
        <color theme="1"/>
      </rPr>
      <t xml:space="preserve">
1.3.1 Building a Business Case &amp; Project Charter
1.3.2 Developing Project Metrics
1.3.3 Financial Evaluation &amp; Benefits Capture
</t>
    </r>
    <r>
      <rPr>
        <rFont val="Arial"/>
        <b/>
        <color theme="1"/>
      </rPr>
      <t>1.4 The Lean Enterprise</t>
    </r>
    <r>
      <rPr>
        <rFont val="Arial"/>
        <color theme="1"/>
      </rPr>
      <t xml:space="preserve">
1.4.1 Understanding Lean
1.4.2 The History of Lean
1.4.3 Lean &amp; Six Sigma
1.4.4 The Seven Elements of Waste
a. Overproduction, Correction, Inventory, Motion, Overprocessing, Conveyance, Waiting.
1.4.5 5S
a. Sort, Straighten, Shine, Standardize, Self-Discipline</t>
    </r>
  </si>
  <si>
    <t>Charter 結構、7 大浪費定義、5S 流程</t>
  </si>
  <si>
    <t>Measure</t>
  </si>
  <si>
    <t>2.1 &amp; 2.2</t>
  </si>
  <si>
    <r>
      <rPr>
        <rFont val="Arial"/>
        <b/>
        <color theme="1"/>
      </rPr>
      <t>2.1 Process Definition</t>
    </r>
    <r>
      <rPr>
        <rFont val="Arial"/>
        <color theme="1"/>
      </rPr>
      <t xml:space="preserve">
2.1.1 Cause &amp; Effect / Fishbone Diagrams
2.1.2 Process Mapping, SIPOC, Value Stream Map
2.1.3 X-Y Diagram
2.1.4 Failure Modes &amp; Effects Analysis (FMEA)
</t>
    </r>
    <r>
      <rPr>
        <rFont val="Arial"/>
        <b/>
        <color theme="1"/>
      </rPr>
      <t>2.2 Six Sigma Statistics</t>
    </r>
    <r>
      <rPr>
        <rFont val="Arial"/>
        <color theme="1"/>
      </rPr>
      <t xml:space="preserve">
2.2.1 Basic Statistics
2.2.2 Descriptive Statistics
2.2.3 Normal Distributions &amp; Normality
2.2.4 Graphical Analysis</t>
    </r>
  </si>
  <si>
    <t>魚骨圖、SIPOC、VSM、FMEA (RPN)、常態分佈判讀</t>
  </si>
  <si>
    <t>2.3 &amp; 2.4</t>
  </si>
  <si>
    <r>
      <rPr>
        <rFont val="Arial"/>
        <b/>
        <color theme="1"/>
      </rPr>
      <t>2.3 Measurement System Analysis</t>
    </r>
    <r>
      <rPr>
        <rFont val="Arial"/>
        <color theme="1"/>
      </rPr>
      <t xml:space="preserve">
2.3.1 Precision &amp; Accuracy
2.3.2 Bias, Linearity &amp; Stability
2.3.3 Gage Repeatability &amp; Reproducibility
2.3.4 Variable &amp; Attribute MSA
</t>
    </r>
    <r>
      <rPr>
        <rFont val="Arial"/>
        <b/>
        <color theme="1"/>
      </rPr>
      <t>2.4 Process Capability</t>
    </r>
    <r>
      <rPr>
        <rFont val="Arial"/>
        <color theme="1"/>
      </rPr>
      <t xml:space="preserve">
2.4.1 Capability Analysis
2.4.2 Concept of Stability
2.4.3 Attribute &amp; Discrete Capability
2.4.4 Monitoring Techniques</t>
    </r>
  </si>
  <si>
    <t>Gage R&amp;R (重複性/再現性)、Cp/Cpk 公式與門檻</t>
  </si>
  <si>
    <t>Analyze</t>
  </si>
  <si>
    <t>3.1 &amp; 3.2</t>
  </si>
  <si>
    <r>
      <rPr>
        <rFont val="Arial"/>
        <b/>
        <color theme="1"/>
      </rPr>
      <t>3.1 Patterns of Variation</t>
    </r>
    <r>
      <rPr>
        <rFont val="Arial"/>
        <color theme="1"/>
      </rPr>
      <t xml:space="preserve">
3.1.1 Multi-Vari Analysis
3.1.2 Classes of Distributions
</t>
    </r>
    <r>
      <rPr>
        <rFont val="Arial"/>
        <b/>
        <color theme="1"/>
      </rPr>
      <t>3.2 Inferential Statistics</t>
    </r>
    <r>
      <rPr>
        <rFont val="Arial"/>
        <color theme="1"/>
      </rPr>
      <t xml:space="preserve">
3.2.1 Understanding Inference
3.2.2 Sampling Techniques &amp; Uses
3.2.3 Central Limit Theorem</t>
    </r>
  </si>
  <si>
    <t>Multi-Vari 圖判讀、抽樣方法、中央極限定理 (CLT)</t>
  </si>
  <si>
    <r>
      <rPr>
        <rFont val="Arial"/>
        <b/>
        <color theme="1"/>
      </rPr>
      <t>3.3 Hypothesis Testing</t>
    </r>
    <r>
      <rPr>
        <rFont val="Arial"/>
        <color theme="1"/>
      </rPr>
      <t xml:space="preserve">
3.3.1 General Concepts &amp; Goals of Hypothesis Testing
3.3.2 Significance; Practical vs. Statistical
3.3.3 Risk; Alpha &amp; Beta
3.3.4 Types of Hypothesis Test</t>
    </r>
  </si>
  <si>
    <t>假設檢定概念、Alpha/Beta 風險 (Type I/II)、p 值判讀原則</t>
  </si>
  <si>
    <r>
      <rPr>
        <rFont val="Arial"/>
        <b/>
        <color theme="1"/>
      </rPr>
      <t>3.4 Hypothesis Testing with Normal Data</t>
    </r>
    <r>
      <rPr>
        <rFont val="Arial"/>
        <color theme="1"/>
      </rPr>
      <t xml:space="preserve">
3.4.1 1 &amp; 2 sample t-tests
3.4.2 1 sample variance
3.4.3 One Way ANOVA
a. Including Tests of Equal Variance, Normality Testing and Sample Size calculation, performing tests and interpreting results.</t>
    </r>
  </si>
  <si>
    <t>1/2 sample t-test、ANOVA 變異數分析、常態性檢定</t>
  </si>
  <si>
    <r>
      <rPr>
        <rFont val="Arial"/>
        <b/>
        <color theme="1"/>
      </rPr>
      <t>3.5 Hypothesis Testing with Non-Normal Data</t>
    </r>
    <r>
      <rPr>
        <rFont val="Arial"/>
        <color theme="1"/>
      </rPr>
      <t xml:space="preserve">
3.5.1 Mann-Whitney
3.5.2 Kruskal-Wallis
3.5.3 Mood’s Median
3.5.4 Friedman
3.5.5 1 Sample Sign
3.5.6 1 Sample Wilcoxon
3.5.7 One and Two Sample Proportion
3.5.8 Chi-Squared (Contingency Tables)
a. Including Tests of Equal Variance, Normality Testing and Sample Size calculation, performing tests and interpreting results.</t>
    </r>
  </si>
  <si>
    <t>Mann-Whitney、Kruskal-Wallis、Mood's Median、Chi-Squared 選擇決策樹</t>
  </si>
  <si>
    <t>Improve</t>
  </si>
  <si>
    <t>分數</t>
  </si>
  <si>
    <r>
      <rPr>
        <rFont val="Arial"/>
        <b/>
        <color theme="1"/>
      </rPr>
      <t>4.1 Simple Linear Regression</t>
    </r>
    <r>
      <rPr>
        <rFont val="Arial"/>
        <color theme="1"/>
      </rPr>
      <t xml:space="preserve">
4.1.1 Correlation
4.1.2 Regression Equations
4.1.3 Residuals Analysis</t>
    </r>
  </si>
  <si>
    <t>定義層級</t>
  </si>
  <si>
    <t>相關係數 r、$R^2$、回歸方程式與殘差圖分析</t>
  </si>
  <si>
    <t>客觀檢驗條件（Operational Criteria）</t>
  </si>
  <si>
    <t>品質狀態判定</t>
  </si>
  <si>
    <t>LSL</t>
  </si>
  <si>
    <t>UCL/LCL</t>
  </si>
  <si>
    <t>1 分</t>
  </si>
  <si>
    <t>完全陌生 / 困惑</t>
  </si>
  <si>
    <t>看完 NLM 解釋仍無法理解核心邏輯，無法說出其用途與公式變數含義。</t>
  </si>
  <si>
    <r>
      <rPr>
        <rFont val="Arial"/>
        <b/>
        <color theme="1"/>
      </rPr>
      <t>4.2 Multiple Regression Analysis</t>
    </r>
    <r>
      <rPr>
        <rFont val="Arial"/>
        <color theme="1"/>
      </rPr>
      <t xml:space="preserve">
4.2.1 Non- Linear Regression
4.2.2 Multiple Linear Regression
4.2.3 Confidence &amp; Prediction Intervals
4.2.4 Residuals Analysis
4.2.5 Data Transformation, Box Cox</t>
    </r>
  </si>
  <si>
    <t>嚴重缺陷（Defect - Red）</t>
  </si>
  <si>
    <t>多元回歸、預測區間、Box-Cox 轉換時機</t>
  </si>
  <si>
    <t>3 分</t>
  </si>
  <si>
    <t>2 分</t>
  </si>
  <si>
    <t>表面認識</t>
  </si>
  <si>
    <t>知道這個工具是做什麼的，但公式推導或判讀規則模糊，無法獨立解釋。</t>
  </si>
  <si>
    <t>預警（Warning - Yellow）</t>
  </si>
  <si>
    <t>基礎掌握</t>
  </si>
  <si>
    <t>理解核心概念與公式，但在沒有筆記提示下無法完整複述或選擇適用時機。</t>
  </si>
  <si>
    <t>Control</t>
  </si>
  <si>
    <t>合格基準（Baseline）</t>
  </si>
  <si>
    <t>4 分</t>
  </si>
  <si>
    <t>熟練運用</t>
  </si>
  <si>
    <t>能精準說出公式、判讀標準（門檻值），且能用白話解釋給他人聽。</t>
  </si>
  <si>
    <t>良好（Good - Green）</t>
  </si>
  <si>
    <r>
      <rPr>
        <rFont val="Arial"/>
        <b/>
        <color theme="1"/>
      </rPr>
      <t>5.1 Lean Controls</t>
    </r>
    <r>
      <rPr>
        <rFont val="Arial"/>
        <color theme="1"/>
      </rPr>
      <t xml:space="preserve">
5.1.1 Control Methods for 5S
5.1.2 Kanban
5.1.3 Poka-Yoke (Mistake Proofing)</t>
    </r>
  </si>
  <si>
    <t>5 分</t>
  </si>
  <si>
    <t>融會貫通</t>
  </si>
  <si>
    <t>不僅完全掌握，還能直接對應到實務工作流程，且已收錄至精簡小抄。</t>
  </si>
  <si>
    <t>優異（Target）</t>
  </si>
  <si>
    <t>5S 控制法、Kanban 看板邏輯、Poka-Yoke 防呆層級</t>
  </si>
  <si>
    <r>
      <rPr>
        <rFont val="Arial"/>
        <b/>
        <color theme="1"/>
      </rPr>
      <t>5.2 Statistical Process Control (SPC)</t>
    </r>
    <r>
      <rPr>
        <rFont val="Arial"/>
        <color theme="1"/>
      </rPr>
      <t xml:space="preserve">
5.2.1 Data Collection for SPC
5.2.2 I-MR Chart
5.2.3 Xbar-R Chart
5.2.4 U Chart
5.2.5 P Chart
5.2.6 NP Chart
5.2.7 Xbar-S Chart
5.2.8 CuSum Chart
5.2.9 EWMA Chart
5.2.10 Control Methods
5.3 Six Sigma Control Plans
5.3.1 Cost Benefit Analysis
5.3.2 Elements of the Control Plan
5.3.3 Elements of the Response Plan</t>
    </r>
  </si>
  <si>
    <t>計量/計數型管制圖選擇決策 (I-MR, Xbar-R, p/np/c/u)、Control Plan 結構</t>
  </si>
  <si>
    <t>Sprint_Drill</t>
  </si>
  <si>
    <t>Drill</t>
  </si>
  <si>
    <t>High-Intensity Question Bank Drill &amp; Defect Logging</t>
  </si>
  <si>
    <t>每日 50–100 題刷題、DMAIC 階段錯題統計與概念補強</t>
  </si>
  <si>
    <t>Mock_Exam</t>
  </si>
  <si>
    <t>Mock</t>
  </si>
  <si>
    <t>Full-Length Timed Simulation (100 Qs / 3 hrs)</t>
  </si>
  <si>
    <t>3小時全真計時模擬、答對率穩定 $\ge 80\%$、正式應試</t>
  </si>
  <si>
    <t>Notes</t>
  </si>
  <si>
    <t>Waiting</t>
  </si>
  <si>
    <t>Calculation</t>
  </si>
  <si>
    <t>Over-processing</t>
  </si>
  <si>
    <t>Nlm Flashcards</t>
  </si>
  <si>
    <t>Real-world Chart</t>
  </si>
  <si>
    <t>客觀檢驗條件（Deliverable Acceptance Criteria）</t>
  </si>
  <si>
    <t>未達交付</t>
  </si>
  <si>
    <t>學習中斷，未產出任何有效小抄詞條或結構化重點。</t>
  </si>
  <si>
    <t>交付不全</t>
  </si>
  <si>
    <t>僅有片段筆記，資訊混亂且未完成該單元核心公式的歸納。</t>
  </si>
  <si>
    <t>基本交付</t>
  </si>
  <si>
    <t>完成該單元考綱標題的摘要記錄，具備基本的文字整理。</t>
  </si>
  <si>
    <t>規範交付</t>
  </si>
  <si>
    <t>成功提煉出公式小抄、核心名詞定義與適用情境，格式清晰。</t>
  </si>
  <si>
    <t>超額交付</t>
  </si>
  <si>
    <t>完成標準小抄，並成功繪製或梳理出 1 份實務對照圖表（如 SIPOC 或流程對照）。</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</si>
</sst>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0.0"/>
      <color rgb="FF000000"/>
      <name val="Arial"/>
      <scheme val="minor"/>
    </font>
    <font>
      <b/>
      <color rgb="FF1F1F1F"/>
      <name val="&quot;Google Sans Text&quot;"/>
    </font>
    <font>
      <color rgb="FF1F1F1F"/>
      <name val="&quot;Google Sans Text&quot;"/>
    </font>
    <font>
      <color theme="1"/>
      <name val="Arial"/>
      <scheme val="minor"/>
    </font>
    <font>
      <b/>
      <color theme="1"/>
      <name val="Arial"/>
      <scheme val="minor"/>
    </font>
    <font>
      <sz val="10.0"/>
      <color theme="1"/>
      <name val="Arial"/>
      <scheme val="minor"/>
    </font>
  </fonts>
  <fills count="4">
    <fill>
      <patternFill patternType="none"/>
    </fill>
    <fill>
      <patternFill patternType="lightGray"/>
    </fill>
    <fill>
      <patternFill patternType="solid">
        <fgColor rgb="FF356854"/>
        <bgColor rgb="FF356854"/>
      </patternFill>
    </fill>
    <fill>
      <patternFill patternType="solid">
        <fgColor rgb="FFD9EAD3"/>
        <bgColor rgb="FFD9EAD3"/>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1"/>
    </xf>
    <xf borderId="0" fillId="0" fontId="3" numFmtId="0" xfId="0" applyAlignment="1" applyFont="1">
      <alignment horizontal="left" readingOrder="0" shrinkToFit="0" vertical="center" wrapText="0"/>
    </xf>
    <xf borderId="0" fillId="0" fontId="4" numFmtId="0" xfId="0" applyAlignment="1" applyFont="1">
      <alignment readingOrder="0"/>
    </xf>
    <xf borderId="0" fillId="0" fontId="3" numFmtId="0" xfId="0" applyAlignment="1" applyFont="1">
      <alignment readingOrder="0"/>
    </xf>
    <xf borderId="0" fillId="0" fontId="4" numFmtId="0" xfId="0" applyAlignment="1" applyFont="1">
      <alignment readingOrder="0" shrinkToFit="0" wrapText="1"/>
    </xf>
    <xf borderId="0" fillId="0" fontId="3" numFmtId="0" xfId="0" applyAlignment="1" applyFont="1">
      <alignment readingOrder="0" shrinkToFit="0" vertical="center" wrapText="0"/>
    </xf>
    <xf borderId="0" fillId="0" fontId="3" numFmtId="164" xfId="0" applyAlignment="1" applyFont="1" applyNumberFormat="1">
      <alignment readingOrder="0" shrinkToFit="0" vertical="center" wrapText="0"/>
    </xf>
    <xf borderId="0" fillId="0" fontId="3" numFmtId="49" xfId="0" applyAlignment="1" applyFont="1" applyNumberFormat="1">
      <alignment horizontal="left" readingOrder="0" shrinkToFit="0" vertical="center" wrapText="0"/>
    </xf>
    <xf borderId="0" fillId="2" fontId="3" numFmtId="0" xfId="0" applyAlignment="1" applyFill="1" applyFont="1">
      <alignment horizontal="left" readingOrder="0" shrinkToFit="0" vertical="center" wrapText="0"/>
    </xf>
    <xf borderId="0" fillId="0" fontId="3" numFmtId="164" xfId="0" applyAlignment="1" applyFont="1" applyNumberFormat="1">
      <alignment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164" xfId="0" applyAlignment="1" applyFont="1" applyNumberFormat="1">
      <alignment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shrinkToFit="0" vertical="center" wrapText="0"/>
    </xf>
    <xf borderId="0" fillId="3" fontId="3" numFmtId="0" xfId="0" applyAlignment="1" applyFill="1" applyFont="1">
      <alignment readingOrder="0" shrinkToFit="0" vertical="center" wrapText="0"/>
    </xf>
    <xf borderId="0" fillId="0" fontId="3" numFmtId="0" xfId="0" applyAlignment="1" applyFont="1">
      <alignment shrinkToFit="0" vertical="center" wrapText="0"/>
    </xf>
    <xf borderId="0" fillId="0" fontId="5" numFmtId="0" xfId="0" applyFont="1"/>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3">
    <tableStyle count="4" pivot="0" name="Ref-style">
      <tableStyleElement dxfId="1" type="headerRow"/>
      <tableStyleElement dxfId="2" type="firstRowStripe"/>
      <tableStyleElement dxfId="3" type="secondRowStripe"/>
      <tableStyleElement dxfId="4" size="0" type="wholeTable"/>
    </tableStyle>
    <tableStyle count="4" pivot="0" name="Log-style">
      <tableStyleElement dxfId="1" type="headerRow"/>
      <tableStyleElement dxfId="2" type="firstRowStripe"/>
      <tableStyleElement dxfId="3" type="secondRowStripe"/>
      <tableStyleElement dxfId="4" size="0" type="wholeTable"/>
    </tableStyle>
    <tableStyle count="4" pivot="0" name="Schedul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0</xdr:rowOff>
    </xdr:from>
    <xdr:ext cx="7610475" cy="49625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647700" cy="2476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xdr:row>
      <xdr:rowOff>0</xdr:rowOff>
    </xdr:from>
    <xdr:ext cx="647700" cy="247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Sue Tsai" id="{461e9b68-5efe-4b64-ab7c-0a19b87934fb}" providerId="google-sheets"/>
</x18tc:personList>
</file>

<file path=xl/tables/table1.xml><?xml version="1.0" encoding="utf-8"?>
<table xmlns="http://schemas.openxmlformats.org/spreadsheetml/2006/main" ref="A1:F15" displayName="Dim_Schedule" name="Dim_Schedule" id="3">
  <tableColumns count="6">
    <tableColumn name="Week_Num" id="1"/>
    <tableColumn name="DMAIC_Phase" id="2"/>
    <tableColumn name="POBOK_Topic" id="3"/>
    <tableColumn name="POBOK_Topic_Description" id="4"/>
    <tableColumn name="Key_Focus_Items" id="5"/>
    <tableColumn name="Standard_Planned_Min" id="6"/>
  </tableColumns>
  <tableStyleInfo name="Schedule-style" showColumnStripes="0" showFirstColumn="1" showLastColumn="1" showRowStripes="1"/>
</table>
</file>

<file path=xl/tables/table2.xml><?xml version="1.0" encoding="utf-8"?>
<table xmlns="http://schemas.openxmlformats.org/spreadsheetml/2006/main" ref="A1:M5" displayName="Fact_Study_Log" name="Fact_Study_Log" id="1">
  <tableColumns count="13">
    <tableColumn name="Phase_Stage" id="1"/>
    <tableColumn name="Date" id="2"/>
    <tableColumn name="Week_Num" id="3"/>
    <tableColumn name="POBOK_Topic" id="4"/>
    <tableColumn name="Activity_Type" id="5"/>
    <tableColumn name="VA_Min" id="6"/>
    <tableColumn name="NVA_Min" id="7"/>
    <tableColumn name="Waste_Type" id="8"/>
    <tableColumn name="Confidence_Level" id="9"/>
    <tableColumn name="Satisfaction_Score" id="10"/>
    <tableColumn name="Questions_Attempted" id="11"/>
    <tableColumn name="Questions_Correct" id="12"/>
    <tableColumn name="Avg_Seconds_Per_Q" id="13"/>
  </tableColumns>
  <tableStyleInfo name="Log-style" showColumnStripes="0" showFirstColumn="1" showLastColumn="1" showRowStripes="1"/>
</table>
</file>

<file path=xl/tables/table3.xml><?xml version="1.0" encoding="utf-8"?>
<table xmlns="http://schemas.openxmlformats.org/spreadsheetml/2006/main" ref="A1:C15" displayName="Week_Reference" name="Week_Reference" id="2">
  <tableColumns count="3">
    <tableColumn name="Week_Num" id="1"/>
    <tableColumn name="Start_Date" id="2"/>
    <tableColumn name="End_Date" id="3"/>
  </tableColumns>
  <tableStyleInfo name="Ref-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2" dT="2026-10-11T18:01:33.00" personId="{461e9b68-5efe-4b64-ab7c-0a19b87934fb}" id="{adcab7ec-15be-4964-9dcf-7047dac9a0c5}" done="0">
    <x18tc:text xml:space="preserve">12/13-12/19那一週回台灣</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 Id="rId7"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16.0"/>
    <col customWidth="1" min="3" max="4" width="51.63"/>
    <col customWidth="1" min="5" max="5" width="22.38"/>
    <col customWidth="1" min="6" max="6" width="22.5"/>
  </cols>
  <sheetData>
    <row r="1" ht="22.5" customHeight="1">
      <c r="A1" s="4" t="s">
        <v>1</v>
      </c>
      <c r="B1" s="4" t="s">
        <v>37</v>
      </c>
      <c r="C1" s="10" t="s">
        <v>22</v>
      </c>
      <c r="D1" s="4" t="s">
        <v>52</v>
      </c>
      <c r="E1" s="4" t="s">
        <v>54</v>
      </c>
      <c r="F1" s="4" t="s">
        <v>56</v>
      </c>
    </row>
    <row r="2" ht="22.5" customHeight="1">
      <c r="A2" s="8" t="s">
        <v>23</v>
      </c>
      <c r="B2" s="8" t="s">
        <v>58</v>
      </c>
      <c r="C2" s="17" t="s">
        <v>59</v>
      </c>
      <c r="D2" s="17" t="s">
        <v>61</v>
      </c>
      <c r="E2" s="17" t="s">
        <v>62</v>
      </c>
      <c r="F2" s="8">
        <v>75.0</v>
      </c>
    </row>
    <row r="3" ht="22.5" customHeight="1">
      <c r="A3" s="13" t="s">
        <v>45</v>
      </c>
      <c r="B3" s="13" t="s">
        <v>58</v>
      </c>
      <c r="C3" s="18" t="s">
        <v>65</v>
      </c>
      <c r="D3" s="18" t="s">
        <v>66</v>
      </c>
      <c r="E3" s="18" t="s">
        <v>67</v>
      </c>
      <c r="F3" s="13">
        <v>65.0</v>
      </c>
    </row>
    <row r="4" ht="22.5" customHeight="1">
      <c r="A4" s="8" t="s">
        <v>46</v>
      </c>
      <c r="B4" s="13" t="s">
        <v>68</v>
      </c>
      <c r="C4" s="18" t="s">
        <v>69</v>
      </c>
      <c r="D4" s="18" t="s">
        <v>70</v>
      </c>
      <c r="E4" s="18" t="s">
        <v>71</v>
      </c>
      <c r="F4" s="13">
        <v>85.0</v>
      </c>
    </row>
    <row r="5" ht="22.5" customHeight="1">
      <c r="A5" s="13" t="s">
        <v>47</v>
      </c>
      <c r="B5" s="13" t="s">
        <v>68</v>
      </c>
      <c r="C5" s="18" t="s">
        <v>72</v>
      </c>
      <c r="D5" s="18" t="s">
        <v>73</v>
      </c>
      <c r="E5" s="18" t="s">
        <v>74</v>
      </c>
      <c r="F5" s="13">
        <v>95.0</v>
      </c>
    </row>
    <row r="6" ht="22.5" customHeight="1">
      <c r="A6" s="8" t="s">
        <v>48</v>
      </c>
      <c r="B6" s="13" t="s">
        <v>75</v>
      </c>
      <c r="C6" s="18" t="s">
        <v>76</v>
      </c>
      <c r="D6" s="18" t="s">
        <v>77</v>
      </c>
      <c r="E6" s="18" t="s">
        <v>78</v>
      </c>
      <c r="F6" s="13">
        <v>70.0</v>
      </c>
    </row>
    <row r="7" ht="22.5" customHeight="1">
      <c r="A7" s="13" t="s">
        <v>49</v>
      </c>
      <c r="B7" s="13" t="s">
        <v>75</v>
      </c>
      <c r="C7" s="19">
        <v>3.3</v>
      </c>
      <c r="D7" s="18" t="s">
        <v>79</v>
      </c>
      <c r="E7" s="18" t="s">
        <v>80</v>
      </c>
      <c r="F7" s="13">
        <v>75.0</v>
      </c>
    </row>
    <row r="8" ht="22.5" customHeight="1">
      <c r="A8" s="8" t="s">
        <v>50</v>
      </c>
      <c r="B8" s="13" t="s">
        <v>75</v>
      </c>
      <c r="C8" s="19">
        <v>3.4</v>
      </c>
      <c r="D8" s="18" t="s">
        <v>81</v>
      </c>
      <c r="E8" s="18" t="s">
        <v>82</v>
      </c>
      <c r="F8" s="13">
        <v>110.0</v>
      </c>
    </row>
    <row r="9" ht="22.5" customHeight="1">
      <c r="A9" s="13" t="s">
        <v>51</v>
      </c>
      <c r="B9" s="13" t="s">
        <v>75</v>
      </c>
      <c r="C9" s="19">
        <v>3.5</v>
      </c>
      <c r="D9" s="18" t="s">
        <v>83</v>
      </c>
      <c r="E9" s="18" t="s">
        <v>84</v>
      </c>
      <c r="F9" s="13">
        <v>115.0</v>
      </c>
    </row>
    <row r="10" ht="22.5" customHeight="1">
      <c r="A10" s="8" t="s">
        <v>53</v>
      </c>
      <c r="B10" s="13" t="s">
        <v>85</v>
      </c>
      <c r="C10" s="19">
        <v>4.1</v>
      </c>
      <c r="D10" s="18" t="s">
        <v>87</v>
      </c>
      <c r="E10" s="18" t="s">
        <v>89</v>
      </c>
      <c r="F10" s="13">
        <v>70.0</v>
      </c>
    </row>
    <row r="11" ht="22.5" customHeight="1">
      <c r="A11" s="13" t="s">
        <v>55</v>
      </c>
      <c r="B11" s="13" t="s">
        <v>85</v>
      </c>
      <c r="C11" s="19">
        <v>4.2</v>
      </c>
      <c r="D11" s="18" t="s">
        <v>97</v>
      </c>
      <c r="E11" s="18" t="s">
        <v>99</v>
      </c>
      <c r="F11" s="13">
        <v>90.0</v>
      </c>
    </row>
    <row r="12" ht="22.5" customHeight="1">
      <c r="A12" s="13" t="s">
        <v>57</v>
      </c>
      <c r="B12" s="13" t="s">
        <v>107</v>
      </c>
      <c r="C12" s="19">
        <v>5.1</v>
      </c>
      <c r="D12" s="18" t="s">
        <v>113</v>
      </c>
      <c r="E12" s="18" t="s">
        <v>118</v>
      </c>
      <c r="F12" s="13">
        <v>60.0</v>
      </c>
    </row>
    <row r="13" ht="22.5" customHeight="1">
      <c r="A13" s="13" t="s">
        <v>60</v>
      </c>
      <c r="B13" s="13" t="s">
        <v>107</v>
      </c>
      <c r="C13" s="19">
        <v>5.2</v>
      </c>
      <c r="D13" s="18" t="s">
        <v>119</v>
      </c>
      <c r="E13" s="18" t="s">
        <v>120</v>
      </c>
      <c r="F13" s="13">
        <v>120.0</v>
      </c>
    </row>
    <row r="14" ht="22.5" customHeight="1">
      <c r="A14" s="13" t="s">
        <v>63</v>
      </c>
      <c r="B14" s="8" t="s">
        <v>121</v>
      </c>
      <c r="C14" s="8" t="s">
        <v>122</v>
      </c>
      <c r="D14" s="18" t="s">
        <v>123</v>
      </c>
      <c r="E14" s="18" t="s">
        <v>124</v>
      </c>
      <c r="F14" s="13">
        <v>600.0</v>
      </c>
    </row>
    <row r="15" ht="22.5" customHeight="1">
      <c r="A15" s="13" t="s">
        <v>64</v>
      </c>
      <c r="B15" s="8" t="s">
        <v>125</v>
      </c>
      <c r="C15" s="8" t="s">
        <v>126</v>
      </c>
      <c r="D15" s="18" t="s">
        <v>127</v>
      </c>
      <c r="E15" s="18" t="s">
        <v>128</v>
      </c>
      <c r="F15" s="13">
        <v>600.0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2" max="2" width="8.88"/>
    <col customWidth="1" min="3" max="3" width="13.88"/>
    <col customWidth="1" min="4" max="4" width="15.75"/>
    <col customWidth="1" min="5" max="5" width="18.5"/>
    <col customWidth="1" min="6" max="6" width="11.13"/>
    <col customWidth="1" min="7" max="7" width="12.25"/>
    <col customWidth="1" min="8" max="8" width="17.75"/>
    <col customWidth="1" min="9" max="9" width="21.75"/>
    <col customWidth="1" min="10" max="10" width="22.63"/>
    <col customWidth="1" min="11" max="11" width="21.5"/>
    <col customWidth="1" min="12" max="12" width="19.25"/>
    <col customWidth="1" min="13" max="13" width="20.63"/>
  </cols>
  <sheetData>
    <row r="1" ht="22.5" customHeight="1">
      <c r="A1" s="4" t="s">
        <v>3</v>
      </c>
      <c r="B1" s="4" t="s">
        <v>15</v>
      </c>
      <c r="C1" s="4" t="s">
        <v>1</v>
      </c>
      <c r="D1" s="4" t="s">
        <v>22</v>
      </c>
      <c r="E1" s="4" t="s">
        <v>25</v>
      </c>
      <c r="F1" s="4" t="s">
        <v>28</v>
      </c>
      <c r="G1" s="4" t="s">
        <v>33</v>
      </c>
      <c r="H1" s="10" t="s">
        <v>38</v>
      </c>
      <c r="I1" s="4" t="s">
        <v>39</v>
      </c>
      <c r="J1" s="4" t="s">
        <v>40</v>
      </c>
      <c r="K1" s="4" t="s">
        <v>41</v>
      </c>
      <c r="L1" s="4" t="s">
        <v>42</v>
      </c>
      <c r="M1" s="11" t="s">
        <v>43</v>
      </c>
    </row>
    <row r="2" ht="22.5" customHeight="1">
      <c r="A2" s="14" t="s">
        <v>44</v>
      </c>
      <c r="B2" s="9">
        <v>46304.0</v>
      </c>
      <c r="C2" s="20" t="str">
        <f t="array" ref="C2">INDEX(Week_Reference[Week_Num],MATCH(1,(Fact_Study_Log[Date]&gt;=Week_Reference[Start_Date])*(Fact_Study_Log[Date]&lt;=Week_Reference[End_Date]),0))</f>
        <v>W1</v>
      </c>
      <c r="D2" s="8" t="s">
        <v>59</v>
      </c>
      <c r="E2" s="14" t="s">
        <v>129</v>
      </c>
      <c r="F2" s="8">
        <v>36.0</v>
      </c>
      <c r="G2" s="8">
        <v>9.0</v>
      </c>
      <c r="H2" s="14" t="s">
        <v>130</v>
      </c>
      <c r="I2" s="14">
        <v>5.0</v>
      </c>
      <c r="J2" s="14">
        <v>5.0</v>
      </c>
      <c r="M2" s="21">
        <f t="shared" ref="M2:M5" si="1">IFERROR(L2/K2,0)</f>
        <v>0</v>
      </c>
    </row>
    <row r="3" ht="22.5" customHeight="1">
      <c r="A3" s="14" t="s">
        <v>44</v>
      </c>
      <c r="B3" s="9">
        <v>46304.0</v>
      </c>
      <c r="C3" s="22" t="str">
        <f t="array" ref="C3">INDEX(Week_Reference[Week_Num],MATCH(1,(Fact_Study_Log[Date]&gt;=Week_Reference[Start_Date])*(Fact_Study_Log[Date]&lt;=Week_Reference[End_Date]),0))</f>
        <v>W1</v>
      </c>
      <c r="D3" s="8" t="s">
        <v>59</v>
      </c>
      <c r="E3" s="14" t="s">
        <v>131</v>
      </c>
      <c r="F3" s="8">
        <v>3.0</v>
      </c>
      <c r="G3" s="8">
        <v>1.0</v>
      </c>
      <c r="H3" s="14" t="s">
        <v>132</v>
      </c>
      <c r="I3" s="14">
        <v>4.0</v>
      </c>
      <c r="J3" s="14">
        <v>5.0</v>
      </c>
      <c r="M3" s="21">
        <f t="shared" si="1"/>
        <v>0</v>
      </c>
    </row>
    <row r="4" ht="22.5" customHeight="1">
      <c r="A4" s="14" t="s">
        <v>44</v>
      </c>
      <c r="B4" s="9">
        <v>46304.0</v>
      </c>
      <c r="C4" s="22" t="str">
        <f t="array" ref="C4">INDEX(Week_Reference[Week_Num],MATCH(1,(Fact_Study_Log[Date]&gt;=Week_Reference[Start_Date])*(Fact_Study_Log[Date]&lt;=Week_Reference[End_Date]),0))</f>
        <v>W1</v>
      </c>
      <c r="D4" s="8" t="s">
        <v>59</v>
      </c>
      <c r="E4" s="14" t="s">
        <v>133</v>
      </c>
      <c r="F4" s="8">
        <v>25.0</v>
      </c>
      <c r="G4" s="8">
        <v>4.0</v>
      </c>
      <c r="H4" s="14" t="s">
        <v>130</v>
      </c>
      <c r="I4" s="14">
        <v>4.0</v>
      </c>
      <c r="J4" s="14">
        <v>3.0</v>
      </c>
      <c r="M4" s="21">
        <f t="shared" si="1"/>
        <v>0</v>
      </c>
    </row>
    <row r="5" ht="22.5" customHeight="1">
      <c r="A5" s="14" t="s">
        <v>44</v>
      </c>
      <c r="B5" s="9">
        <v>46304.0</v>
      </c>
      <c r="C5" s="22" t="str">
        <f t="array" ref="C5">INDEX(Week_Reference[Week_Num],MATCH(1,(Fact_Study_Log[Date]&gt;=Week_Reference[Start_Date])*(Fact_Study_Log[Date]&lt;=Week_Reference[End_Date]),0))</f>
        <v>W1</v>
      </c>
      <c r="D5" s="8" t="s">
        <v>59</v>
      </c>
      <c r="E5" s="14" t="s">
        <v>134</v>
      </c>
      <c r="F5" s="8">
        <v>14.0</v>
      </c>
      <c r="G5" s="8">
        <v>2.0</v>
      </c>
      <c r="H5" s="14" t="s">
        <v>130</v>
      </c>
      <c r="I5" s="14">
        <v>5.0</v>
      </c>
      <c r="J5" s="14">
        <v>5.0</v>
      </c>
      <c r="M5" s="21">
        <f t="shared" si="1"/>
        <v>0</v>
      </c>
    </row>
    <row r="10">
      <c r="I10" s="23"/>
    </row>
  </sheetData>
  <conditionalFormatting sqref="H2">
    <cfRule type="notContainsBlanks" dxfId="5" priority="1">
      <formula>LEN(TRIM(H2))&gt;0</formula>
    </cfRule>
  </conditionalFormatting>
  <dataValidations>
    <dataValidation type="list" allowBlank="1" sqref="A2:A5">
      <formula1>"Stage 1: Knowledge Mastery,Stage 2: Practice Exam"</formula1>
    </dataValidation>
    <dataValidation type="list" allowBlank="1" sqref="E2:E5">
      <formula1>"Notes,Calculation,Real-world Chart,Nlm Flashcards,Practice Drill,Mock Exam"</formula1>
    </dataValidation>
    <dataValidation type="list" allowBlank="1" sqref="H2:H5">
      <formula1>"Defects,Over-processing,Waiting,Motion,Inventory,Non-utilized Talent,Rework,Transportation"</formula1>
    </dataValidation>
    <dataValidation type="list" allowBlank="1" sqref="I2:J5">
      <formula1>"1,2,3,4,5"</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13.25"/>
  </cols>
  <sheetData>
    <row r="1" ht="22.5" customHeight="1">
      <c r="A1" s="4" t="s">
        <v>1</v>
      </c>
      <c r="B1" s="4" t="s">
        <v>11</v>
      </c>
      <c r="C1" s="4" t="s">
        <v>20</v>
      </c>
    </row>
    <row r="2" ht="22.5" customHeight="1">
      <c r="A2" s="8" t="s">
        <v>23</v>
      </c>
      <c r="B2" s="9">
        <v>46299.0</v>
      </c>
      <c r="C2" s="12">
        <f t="shared" ref="C2:C15" si="1">B2+6</f>
        <v>46305</v>
      </c>
    </row>
    <row r="3" ht="22.5" customHeight="1">
      <c r="A3" s="13" t="s">
        <v>45</v>
      </c>
      <c r="B3" s="15">
        <f t="shared" ref="B3:B11" si="2">C2+1</f>
        <v>46306</v>
      </c>
      <c r="C3" s="12">
        <f t="shared" si="1"/>
        <v>46312</v>
      </c>
    </row>
    <row r="4" ht="22.5" customHeight="1">
      <c r="A4" s="8" t="s">
        <v>46</v>
      </c>
      <c r="B4" s="15">
        <f t="shared" si="2"/>
        <v>46313</v>
      </c>
      <c r="C4" s="12">
        <f t="shared" si="1"/>
        <v>46319</v>
      </c>
    </row>
    <row r="5" ht="22.5" customHeight="1">
      <c r="A5" s="13" t="s">
        <v>47</v>
      </c>
      <c r="B5" s="15">
        <f t="shared" si="2"/>
        <v>46320</v>
      </c>
      <c r="C5" s="12">
        <f t="shared" si="1"/>
        <v>46326</v>
      </c>
    </row>
    <row r="6" ht="22.5" customHeight="1">
      <c r="A6" s="8" t="s">
        <v>48</v>
      </c>
      <c r="B6" s="15">
        <f t="shared" si="2"/>
        <v>46327</v>
      </c>
      <c r="C6" s="12">
        <f t="shared" si="1"/>
        <v>46333</v>
      </c>
    </row>
    <row r="7" ht="22.5" customHeight="1">
      <c r="A7" s="13" t="s">
        <v>49</v>
      </c>
      <c r="B7" s="15">
        <f t="shared" si="2"/>
        <v>46334</v>
      </c>
      <c r="C7" s="12">
        <f t="shared" si="1"/>
        <v>46340</v>
      </c>
    </row>
    <row r="8" ht="22.5" customHeight="1">
      <c r="A8" s="8" t="s">
        <v>50</v>
      </c>
      <c r="B8" s="15">
        <f t="shared" si="2"/>
        <v>46341</v>
      </c>
      <c r="C8" s="12">
        <f t="shared" si="1"/>
        <v>46347</v>
      </c>
    </row>
    <row r="9" ht="22.5" customHeight="1">
      <c r="A9" s="13" t="s">
        <v>51</v>
      </c>
      <c r="B9" s="15">
        <f t="shared" si="2"/>
        <v>46348</v>
      </c>
      <c r="C9" s="12">
        <f t="shared" si="1"/>
        <v>46354</v>
      </c>
    </row>
    <row r="10" ht="22.5" customHeight="1">
      <c r="A10" s="8" t="s">
        <v>53</v>
      </c>
      <c r="B10" s="15">
        <f t="shared" si="2"/>
        <v>46355</v>
      </c>
      <c r="C10" s="12">
        <f t="shared" si="1"/>
        <v>46361</v>
      </c>
    </row>
    <row r="11" ht="22.5" customHeight="1">
      <c r="A11" s="13" t="s">
        <v>55</v>
      </c>
      <c r="B11" s="15">
        <f t="shared" si="2"/>
        <v>46362</v>
      </c>
      <c r="C11" s="12">
        <f t="shared" si="1"/>
        <v>46368</v>
      </c>
    </row>
    <row r="12" ht="22.5" customHeight="1">
      <c r="A12" s="13" t="s">
        <v>57</v>
      </c>
      <c r="B12" s="16">
        <v>46376.0</v>
      </c>
      <c r="C12" s="15">
        <f t="shared" si="1"/>
        <v>46382</v>
      </c>
    </row>
    <row r="13" ht="22.5" customHeight="1">
      <c r="A13" s="13" t="s">
        <v>60</v>
      </c>
      <c r="B13" s="15">
        <f t="shared" ref="B13:B15" si="3">C12+1</f>
        <v>46383</v>
      </c>
      <c r="C13" s="15">
        <f t="shared" si="1"/>
        <v>46389</v>
      </c>
    </row>
    <row r="14" ht="22.5" customHeight="1">
      <c r="A14" s="13" t="s">
        <v>63</v>
      </c>
      <c r="B14" s="15">
        <f t="shared" si="3"/>
        <v>46390</v>
      </c>
      <c r="C14" s="15">
        <f t="shared" si="1"/>
        <v>46396</v>
      </c>
    </row>
    <row r="15" ht="22.5" customHeight="1">
      <c r="A15" s="13" t="s">
        <v>64</v>
      </c>
      <c r="B15" s="15">
        <f t="shared" si="3"/>
        <v>46397</v>
      </c>
      <c r="C15" s="15">
        <f t="shared" si="1"/>
        <v>46403</v>
      </c>
    </row>
  </sheetData>
  <drawing r:id="rId4"/>
  <legacy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1" max="1" width="40.63"/>
    <col customWidth="1" min="2" max="2" width="50.38"/>
    <col customWidth="1" min="3" max="3" width="53.13"/>
  </cols>
  <sheetData>
    <row r="1">
      <c r="A1" s="1" t="s">
        <v>0</v>
      </c>
      <c r="B1" s="1" t="s">
        <v>2</v>
      </c>
      <c r="C1" s="1" t="s">
        <v>4</v>
      </c>
    </row>
    <row r="2">
      <c r="A2" s="1" t="s">
        <v>5</v>
      </c>
      <c r="B2" s="2" t="s">
        <v>6</v>
      </c>
      <c r="C2" s="3" t="s">
        <v>7</v>
      </c>
    </row>
    <row r="3">
      <c r="A3" s="1" t="s">
        <v>8</v>
      </c>
      <c r="B3" s="2" t="s">
        <v>9</v>
      </c>
      <c r="C3" s="3" t="s">
        <v>10</v>
      </c>
    </row>
    <row r="4">
      <c r="A4" s="1" t="s">
        <v>12</v>
      </c>
      <c r="B4" s="2" t="s">
        <v>13</v>
      </c>
      <c r="C4" s="3" t="s">
        <v>14</v>
      </c>
    </row>
    <row r="5">
      <c r="A5" s="1" t="s">
        <v>16</v>
      </c>
      <c r="B5" s="2" t="s">
        <v>17</v>
      </c>
      <c r="C5" s="3" t="s">
        <v>18</v>
      </c>
    </row>
    <row r="6">
      <c r="A6" s="5" t="s">
        <v>19</v>
      </c>
      <c r="B6" s="6" t="s">
        <v>21</v>
      </c>
      <c r="C6" s="7" t="s">
        <v>24</v>
      </c>
    </row>
    <row r="7">
      <c r="A7" s="5" t="s">
        <v>26</v>
      </c>
      <c r="B7" s="6" t="s">
        <v>27</v>
      </c>
      <c r="C7" s="7" t="s">
        <v>29</v>
      </c>
    </row>
    <row r="8">
      <c r="A8" s="5" t="s">
        <v>30</v>
      </c>
      <c r="B8" s="6" t="s">
        <v>31</v>
      </c>
      <c r="C8" s="7" t="s">
        <v>32</v>
      </c>
    </row>
    <row r="9">
      <c r="A9" s="1" t="s">
        <v>34</v>
      </c>
      <c r="B9" s="2" t="s">
        <v>35</v>
      </c>
      <c r="C9" s="3" t="s">
        <v>36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1" max="1" width="4.38"/>
    <col customWidth="1" min="2" max="2" width="12.38"/>
    <col customWidth="1" min="3" max="3" width="56.0"/>
    <col customWidth="1" min="4" max="4" width="20.63"/>
  </cols>
  <sheetData>
    <row r="1">
      <c r="A1" s="1" t="s">
        <v>86</v>
      </c>
      <c r="B1" s="1" t="s">
        <v>88</v>
      </c>
      <c r="C1" s="1" t="s">
        <v>90</v>
      </c>
      <c r="D1" s="1" t="s">
        <v>91</v>
      </c>
      <c r="E1" s="6" t="s">
        <v>92</v>
      </c>
      <c r="F1" s="6" t="s">
        <v>93</v>
      </c>
    </row>
    <row r="2">
      <c r="A2" s="1" t="s">
        <v>94</v>
      </c>
      <c r="B2" s="2" t="s">
        <v>95</v>
      </c>
      <c r="C2" s="2" t="s">
        <v>96</v>
      </c>
      <c r="D2" s="2" t="s">
        <v>98</v>
      </c>
      <c r="E2" s="1" t="s">
        <v>100</v>
      </c>
    </row>
    <row r="3">
      <c r="A3" s="1" t="s">
        <v>101</v>
      </c>
      <c r="B3" s="2" t="s">
        <v>102</v>
      </c>
      <c r="C3" s="2" t="s">
        <v>103</v>
      </c>
      <c r="D3" s="2" t="s">
        <v>104</v>
      </c>
    </row>
    <row r="4">
      <c r="A4" s="1" t="s">
        <v>100</v>
      </c>
      <c r="B4" s="2" t="s">
        <v>105</v>
      </c>
      <c r="C4" s="2" t="s">
        <v>106</v>
      </c>
      <c r="D4" s="2" t="s">
        <v>108</v>
      </c>
    </row>
    <row r="5">
      <c r="A5" s="1" t="s">
        <v>109</v>
      </c>
      <c r="B5" s="2" t="s">
        <v>110</v>
      </c>
      <c r="C5" s="2" t="s">
        <v>111</v>
      </c>
      <c r="D5" s="2" t="s">
        <v>112</v>
      </c>
    </row>
    <row r="6">
      <c r="A6" s="1" t="s">
        <v>114</v>
      </c>
      <c r="B6" s="2" t="s">
        <v>115</v>
      </c>
      <c r="C6" s="2" t="s">
        <v>116</v>
      </c>
      <c r="D6" s="2" t="s">
        <v>117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1" max="1" width="4.38"/>
    <col customWidth="1" min="2" max="2" width="7.63"/>
    <col customWidth="1" min="3" max="3" width="61.63"/>
  </cols>
  <sheetData>
    <row r="1">
      <c r="A1" s="1" t="s">
        <v>86</v>
      </c>
      <c r="B1" s="1" t="s">
        <v>88</v>
      </c>
      <c r="C1" s="1" t="s">
        <v>135</v>
      </c>
      <c r="D1" s="6" t="s">
        <v>92</v>
      </c>
      <c r="E1" s="6" t="s">
        <v>93</v>
      </c>
    </row>
    <row r="2">
      <c r="A2" s="1" t="s">
        <v>94</v>
      </c>
      <c r="B2" s="2" t="s">
        <v>136</v>
      </c>
      <c r="C2" s="2" t="s">
        <v>137</v>
      </c>
      <c r="D2" s="1" t="s">
        <v>109</v>
      </c>
    </row>
    <row r="3">
      <c r="A3" s="1" t="s">
        <v>101</v>
      </c>
      <c r="B3" s="2" t="s">
        <v>138</v>
      </c>
      <c r="C3" s="2" t="s">
        <v>139</v>
      </c>
    </row>
    <row r="4">
      <c r="A4" s="1" t="s">
        <v>100</v>
      </c>
      <c r="B4" s="2" t="s">
        <v>140</v>
      </c>
      <c r="C4" s="2" t="s">
        <v>141</v>
      </c>
    </row>
    <row r="5">
      <c r="A5" s="1" t="s">
        <v>109</v>
      </c>
      <c r="B5" s="2" t="s">
        <v>142</v>
      </c>
      <c r="C5" s="2" t="s">
        <v>143</v>
      </c>
    </row>
    <row r="6">
      <c r="A6" s="1" t="s">
        <v>114</v>
      </c>
      <c r="B6" s="2" t="s">
        <v>144</v>
      </c>
      <c r="C6" s="2" t="s">
        <v>145</v>
      </c>
    </row>
  </sheetData>
  <drawing r:id="rId1"/>
</worksheet>
</file>